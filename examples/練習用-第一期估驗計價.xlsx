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320code\material-price-payment\examples\"/>
    </mc:Choice>
  </mc:AlternateContent>
  <xr:revisionPtr revIDLastSave="0" documentId="13_ncr:1_{A8FD07C5-1897-46B0-9CC3-27B84A413C1A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請款明細表" sheetId="1" r:id="rId1"/>
    <sheet name="計價總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G9" i="2"/>
  <c r="K9" i="2" s="1"/>
  <c r="G8" i="2"/>
  <c r="G7" i="2"/>
  <c r="L11" i="1"/>
  <c r="K10" i="1"/>
  <c r="J10" i="1"/>
  <c r="F10" i="1"/>
  <c r="E8" i="2" s="1"/>
  <c r="K9" i="1"/>
  <c r="J9" i="1"/>
  <c r="L9" i="1" s="1"/>
  <c r="F9" i="1"/>
  <c r="K8" i="1"/>
  <c r="J8" i="1"/>
  <c r="F8" i="1"/>
  <c r="K7" i="1"/>
  <c r="J7" i="1"/>
  <c r="F7" i="1"/>
  <c r="E7" i="2" s="1"/>
  <c r="E6" i="2" s="1"/>
  <c r="E10" i="2" s="1"/>
  <c r="H6" i="1"/>
  <c r="H12" i="1" s="1"/>
  <c r="F6" i="1" l="1"/>
  <c r="F12" i="1" s="1"/>
  <c r="L10" i="1"/>
  <c r="I8" i="2"/>
  <c r="H8" i="2" s="1"/>
  <c r="L8" i="1"/>
  <c r="L6" i="1" s="1"/>
  <c r="L12" i="1" s="1"/>
  <c r="J6" i="1"/>
  <c r="J12" i="1" s="1"/>
  <c r="L7" i="1"/>
  <c r="I7" i="2"/>
  <c r="K8" i="2"/>
  <c r="F8" i="2"/>
  <c r="H7" i="2"/>
  <c r="I6" i="2"/>
  <c r="I10" i="2" s="1"/>
  <c r="K7" i="2"/>
  <c r="F7" i="2"/>
  <c r="J7" i="2" s="1"/>
  <c r="G6" i="2"/>
  <c r="G10" i="2" s="1"/>
  <c r="K6" i="2" l="1"/>
  <c r="K10" i="2" s="1"/>
</calcChain>
</file>

<file path=xl/sharedStrings.xml><?xml version="1.0" encoding="utf-8"?>
<sst xmlns="http://schemas.openxmlformats.org/spreadsheetml/2006/main" count="57" uniqueCount="29">
  <si>
    <t>示範道路改善工程　第一期估驗計價　請款明細表</t>
  </si>
  <si>
    <t>※ 練習用假資料，工程名稱與金額均為虛構</t>
  </si>
  <si>
    <t>項次</t>
  </si>
  <si>
    <t>工程項目</t>
  </si>
  <si>
    <t>原契約</t>
  </si>
  <si>
    <t>前期累計</t>
  </si>
  <si>
    <t>本期完成</t>
  </si>
  <si>
    <t>累計至本期</t>
  </si>
  <si>
    <t>單位</t>
  </si>
  <si>
    <t>數量</t>
  </si>
  <si>
    <t>單價</t>
  </si>
  <si>
    <t>複價</t>
  </si>
  <si>
    <t>壹</t>
  </si>
  <si>
    <t>發包工程費</t>
  </si>
  <si>
    <t>瀝青混凝土鋪面</t>
  </si>
  <si>
    <t>m2</t>
  </si>
  <si>
    <t>預鑄混凝土路緣石</t>
  </si>
  <si>
    <t>m</t>
  </si>
  <si>
    <t>人行道高壓磚</t>
  </si>
  <si>
    <t>交通號誌設施</t>
  </si>
  <si>
    <t>式</t>
  </si>
  <si>
    <t>物價調整金額</t>
  </si>
  <si>
    <t>總計</t>
  </si>
  <si>
    <t>示範道路改善工程　第一期估驗計價　計價總表</t>
  </si>
  <si>
    <t>壹.一</t>
  </si>
  <si>
    <t>道路工程費</t>
  </si>
  <si>
    <t>壹.二</t>
  </si>
  <si>
    <t>交通工程費</t>
  </si>
  <si>
    <t>物價指數調整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</si>
</sst>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5" x14ac:knownFonts="1">
    <font>
      <sz val="11"/>
      <color theme="1"/>
      <name val="新細明體"/>
      <family val="2"/>
      <scheme val="minor"/>
    </font>
    <font>
      <b/>
      <sz val="13"/>
      <name val="新細明體"/>
      <family val="1"/>
      <charset val="136"/>
    </font>
    <font>
      <sz val="10"/>
      <color rgb="FFC00000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FE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176" fontId="3" fillId="0" borderId="1" xfId="0" applyNumberFormat="1" applyFont="1" applyBorder="1"/>
    <xf numFmtId="0" fontId="0" fillId="0" borderId="1" xfId="0" applyBorder="1"/>
    <xf numFmtId="4" fontId="0" fillId="0" borderId="1" xfId="0" applyNumberFormat="1" applyBorder="1"/>
    <xf numFmtId="176" fontId="0" fillId="0" borderId="1" xfId="0" applyNumberFormat="1" applyBorder="1"/>
    <xf numFmtId="1" fontId="3" fillId="0" borderId="1" xfId="0" applyNumberFormat="1" applyFont="1" applyBorder="1"/>
    <xf numFmtId="2" fontId="3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x14ac:dyDescent="0.3"/>
  <cols>
    <col min="1" max="1" width="7" customWidth="1"/>
    <col min="2" max="2" width="20" customWidth="1"/>
    <col min="3" max="12" width="12" customWidth="1"/>
  </cols>
  <sheetData>
    <row r="1" spans="1:12" ht="17.399999999999999" x14ac:dyDescent="0.3">
      <c r="A1" s="1" t="s">
        <v>0</v>
      </c>
    </row>
    <row r="2" spans="1:12" x14ac:dyDescent="0.3">
      <c r="A2" s="2" t="s">
        <v>1</v>
      </c>
    </row>
    <row r="4" spans="1:12" x14ac:dyDescent="0.3">
      <c r="A4" s="3" t="s">
        <v>2</v>
      </c>
      <c r="B4" s="3" t="s">
        <v>3</v>
      </c>
      <c r="C4" s="14" t="s">
        <v>4</v>
      </c>
      <c r="D4" s="14"/>
      <c r="E4" s="14"/>
      <c r="F4" s="14"/>
      <c r="G4" s="14" t="s">
        <v>5</v>
      </c>
      <c r="H4" s="14"/>
      <c r="I4" s="14" t="s">
        <v>6</v>
      </c>
      <c r="J4" s="14"/>
      <c r="K4" s="14" t="s">
        <v>7</v>
      </c>
      <c r="L4" s="14"/>
    </row>
    <row r="5" spans="1:12" x14ac:dyDescent="0.3">
      <c r="A5" s="3"/>
      <c r="B5" s="3"/>
      <c r="C5" s="3" t="s">
        <v>8</v>
      </c>
      <c r="D5" s="3" t="s">
        <v>9</v>
      </c>
      <c r="E5" s="3" t="s">
        <v>10</v>
      </c>
      <c r="F5" s="3" t="s">
        <v>11</v>
      </c>
      <c r="G5" s="3" t="s">
        <v>9</v>
      </c>
      <c r="H5" s="3" t="s">
        <v>11</v>
      </c>
      <c r="I5" s="3" t="s">
        <v>9</v>
      </c>
      <c r="J5" s="3" t="s">
        <v>11</v>
      </c>
      <c r="K5" s="3" t="s">
        <v>9</v>
      </c>
      <c r="L5" s="3" t="s">
        <v>11</v>
      </c>
    </row>
    <row r="6" spans="1:12" x14ac:dyDescent="0.3">
      <c r="A6" s="4" t="s">
        <v>12</v>
      </c>
      <c r="B6" s="4" t="s">
        <v>13</v>
      </c>
      <c r="C6" s="4"/>
      <c r="D6" s="5"/>
      <c r="E6" s="6"/>
      <c r="F6" s="6">
        <f>SUM(F7:F10)</f>
        <v>2810000</v>
      </c>
      <c r="G6" s="5"/>
      <c r="H6" s="6">
        <f>SUM(H7:H10)</f>
        <v>0</v>
      </c>
      <c r="I6" s="5"/>
      <c r="J6" s="6">
        <f>SUM(J7:J10)</f>
        <v>1015000</v>
      </c>
      <c r="K6" s="5"/>
      <c r="L6" s="6">
        <f>SUM(L7:L10)</f>
        <v>1015000</v>
      </c>
    </row>
    <row r="7" spans="1:12" x14ac:dyDescent="0.3">
      <c r="A7" s="7">
        <v>1</v>
      </c>
      <c r="B7" s="7" t="s">
        <v>14</v>
      </c>
      <c r="C7" s="7" t="s">
        <v>15</v>
      </c>
      <c r="D7" s="8">
        <v>2000</v>
      </c>
      <c r="E7" s="9">
        <v>350</v>
      </c>
      <c r="F7" s="9">
        <f>ROUND(D7*E7,0)</f>
        <v>700000</v>
      </c>
      <c r="G7" s="8">
        <v>0</v>
      </c>
      <c r="H7" s="9">
        <v>0</v>
      </c>
      <c r="I7" s="8">
        <v>800</v>
      </c>
      <c r="J7" s="9">
        <f>ROUND(E7*I7,0)</f>
        <v>280000</v>
      </c>
      <c r="K7" s="8">
        <f t="shared" ref="K7:L10" si="0">G7+I7</f>
        <v>800</v>
      </c>
      <c r="L7" s="9">
        <f t="shared" si="0"/>
        <v>280000</v>
      </c>
    </row>
    <row r="8" spans="1:12" x14ac:dyDescent="0.3">
      <c r="A8" s="7">
        <v>2</v>
      </c>
      <c r="B8" s="7" t="s">
        <v>16</v>
      </c>
      <c r="C8" s="7" t="s">
        <v>17</v>
      </c>
      <c r="D8" s="8">
        <v>800</v>
      </c>
      <c r="E8" s="9">
        <v>1200</v>
      </c>
      <c r="F8" s="9">
        <f>ROUND(D8*E8,0)</f>
        <v>960000</v>
      </c>
      <c r="G8" s="8">
        <v>0</v>
      </c>
      <c r="H8" s="9">
        <v>0</v>
      </c>
      <c r="I8" s="8">
        <v>300</v>
      </c>
      <c r="J8" s="9">
        <f>ROUND(E8*I8,0)</f>
        <v>360000</v>
      </c>
      <c r="K8" s="8">
        <f t="shared" si="0"/>
        <v>300</v>
      </c>
      <c r="L8" s="9">
        <f t="shared" si="0"/>
        <v>360000</v>
      </c>
    </row>
    <row r="9" spans="1:12" x14ac:dyDescent="0.3">
      <c r="A9" s="7">
        <v>3</v>
      </c>
      <c r="B9" s="7" t="s">
        <v>18</v>
      </c>
      <c r="C9" s="7" t="s">
        <v>15</v>
      </c>
      <c r="D9" s="8">
        <v>600</v>
      </c>
      <c r="E9" s="9">
        <v>1500</v>
      </c>
      <c r="F9" s="9">
        <f>ROUND(D9*E9,0)</f>
        <v>900000</v>
      </c>
      <c r="G9" s="8">
        <v>0</v>
      </c>
      <c r="H9" s="9">
        <v>0</v>
      </c>
      <c r="I9" s="8">
        <v>200</v>
      </c>
      <c r="J9" s="9">
        <f>ROUND(E9*I9,0)</f>
        <v>300000</v>
      </c>
      <c r="K9" s="8">
        <f t="shared" si="0"/>
        <v>200</v>
      </c>
      <c r="L9" s="9">
        <f t="shared" si="0"/>
        <v>300000</v>
      </c>
    </row>
    <row r="10" spans="1:12" x14ac:dyDescent="0.3">
      <c r="A10" s="7">
        <v>4</v>
      </c>
      <c r="B10" s="7" t="s">
        <v>19</v>
      </c>
      <c r="C10" s="7" t="s">
        <v>20</v>
      </c>
      <c r="D10" s="8">
        <v>1</v>
      </c>
      <c r="E10" s="9">
        <v>250000</v>
      </c>
      <c r="F10" s="9">
        <f>ROUND(D10*E10,0)</f>
        <v>250000</v>
      </c>
      <c r="G10" s="8">
        <v>0</v>
      </c>
      <c r="H10" s="9">
        <v>0</v>
      </c>
      <c r="I10" s="8">
        <v>0.3</v>
      </c>
      <c r="J10" s="9">
        <f>ROUND(E10*I10,0)</f>
        <v>75000</v>
      </c>
      <c r="K10" s="8">
        <f t="shared" si="0"/>
        <v>0.3</v>
      </c>
      <c r="L10" s="9">
        <f t="shared" si="0"/>
        <v>75000</v>
      </c>
    </row>
    <row r="11" spans="1:12" x14ac:dyDescent="0.3">
      <c r="A11" s="7"/>
      <c r="B11" s="7" t="s">
        <v>21</v>
      </c>
      <c r="C11" s="7"/>
      <c r="D11" s="8"/>
      <c r="E11" s="9"/>
      <c r="F11" s="9"/>
      <c r="G11" s="8"/>
      <c r="H11" s="9">
        <v>0</v>
      </c>
      <c r="I11" s="8"/>
      <c r="J11" s="9">
        <v>12000</v>
      </c>
      <c r="K11" s="8"/>
      <c r="L11" s="9">
        <f>H11+J11</f>
        <v>12000</v>
      </c>
    </row>
    <row r="12" spans="1:12" x14ac:dyDescent="0.3">
      <c r="A12" s="4"/>
      <c r="B12" s="4" t="s">
        <v>22</v>
      </c>
      <c r="C12" s="4"/>
      <c r="D12" s="5"/>
      <c r="E12" s="6"/>
      <c r="F12" s="6">
        <f>F6</f>
        <v>2810000</v>
      </c>
      <c r="G12" s="5"/>
      <c r="H12" s="6">
        <f>H6+H11</f>
        <v>0</v>
      </c>
      <c r="I12" s="5"/>
      <c r="J12" s="6">
        <f>J6+J11</f>
        <v>1027000</v>
      </c>
      <c r="K12" s="5"/>
      <c r="L12" s="6">
        <f>L6+L11</f>
        <v>1027000</v>
      </c>
    </row>
  </sheetData>
  <mergeCells count="4">
    <mergeCell ref="K4:L4"/>
    <mergeCell ref="G4:H4"/>
    <mergeCell ref="C4:F4"/>
    <mergeCell ref="I4:J4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/>
  </sheetViews>
  <sheetFormatPr defaultRowHeight="15" x14ac:dyDescent="0.3"/>
  <cols>
    <col min="1" max="1" width="7" customWidth="1"/>
    <col min="2" max="2" width="20" customWidth="1"/>
    <col min="3" max="11" width="12" customWidth="1"/>
  </cols>
  <sheetData>
    <row r="1" spans="1:11" ht="17.399999999999999" x14ac:dyDescent="0.3">
      <c r="A1" s="1" t="s">
        <v>23</v>
      </c>
    </row>
    <row r="2" spans="1:11" x14ac:dyDescent="0.3">
      <c r="A2" s="2" t="s">
        <v>1</v>
      </c>
    </row>
    <row r="4" spans="1:11" x14ac:dyDescent="0.3">
      <c r="A4" s="3" t="s">
        <v>2</v>
      </c>
      <c r="B4" s="3" t="s">
        <v>3</v>
      </c>
      <c r="C4" s="14" t="s">
        <v>4</v>
      </c>
      <c r="D4" s="14"/>
      <c r="E4" s="14"/>
      <c r="F4" s="14" t="s">
        <v>5</v>
      </c>
      <c r="G4" s="14"/>
      <c r="H4" s="14" t="s">
        <v>6</v>
      </c>
      <c r="I4" s="14"/>
      <c r="J4" s="14" t="s">
        <v>7</v>
      </c>
      <c r="K4" s="14"/>
    </row>
    <row r="5" spans="1:11" x14ac:dyDescent="0.3">
      <c r="A5" s="3"/>
      <c r="B5" s="3"/>
      <c r="C5" s="3" t="s">
        <v>8</v>
      </c>
      <c r="D5" s="3" t="s">
        <v>9</v>
      </c>
      <c r="E5" s="3" t="s">
        <v>11</v>
      </c>
      <c r="F5" s="3" t="s">
        <v>9</v>
      </c>
      <c r="G5" s="3" t="s">
        <v>11</v>
      </c>
      <c r="H5" s="3" t="s">
        <v>9</v>
      </c>
      <c r="I5" s="3" t="s">
        <v>11</v>
      </c>
      <c r="J5" s="3" t="s">
        <v>9</v>
      </c>
      <c r="K5" s="3" t="s">
        <v>11</v>
      </c>
    </row>
    <row r="6" spans="1:11" x14ac:dyDescent="0.3">
      <c r="A6" s="4" t="s">
        <v>12</v>
      </c>
      <c r="B6" s="4" t="s">
        <v>13</v>
      </c>
      <c r="C6" s="4"/>
      <c r="D6" s="10"/>
      <c r="E6" s="6">
        <f>SUM(E7:E8)</f>
        <v>2810000</v>
      </c>
      <c r="F6" s="11"/>
      <c r="G6" s="6">
        <f>SUM(G7:G8)</f>
        <v>0</v>
      </c>
      <c r="H6" s="11"/>
      <c r="I6" s="6">
        <f>SUM(I7:I8)</f>
        <v>1015000</v>
      </c>
      <c r="J6" s="11"/>
      <c r="K6" s="6">
        <f>SUM(K7:K8)</f>
        <v>1015000</v>
      </c>
    </row>
    <row r="7" spans="1:11" x14ac:dyDescent="0.3">
      <c r="A7" s="7" t="s">
        <v>24</v>
      </c>
      <c r="B7" s="7" t="s">
        <v>25</v>
      </c>
      <c r="C7" s="7" t="s">
        <v>20</v>
      </c>
      <c r="D7" s="12">
        <v>1</v>
      </c>
      <c r="E7" s="9">
        <f>SUM(請款明細表!F7:F9)</f>
        <v>2560000</v>
      </c>
      <c r="F7" s="13">
        <f>G7/E7</f>
        <v>0</v>
      </c>
      <c r="G7" s="9">
        <f>SUM(請款明細表!H7:H9)</f>
        <v>0</v>
      </c>
      <c r="H7" s="13">
        <f>I7/E7</f>
        <v>0.3671875</v>
      </c>
      <c r="I7" s="9">
        <f>SUM(請款明細表!J7:J9)</f>
        <v>940000</v>
      </c>
      <c r="J7" s="13">
        <f>F7+H7</f>
        <v>0.3671875</v>
      </c>
      <c r="K7" s="9">
        <f>G7+I7</f>
        <v>940000</v>
      </c>
    </row>
    <row r="8" spans="1:11" x14ac:dyDescent="0.3">
      <c r="A8" s="7" t="s">
        <v>26</v>
      </c>
      <c r="B8" s="7" t="s">
        <v>27</v>
      </c>
      <c r="C8" s="7" t="s">
        <v>20</v>
      </c>
      <c r="D8" s="12">
        <v>1</v>
      </c>
      <c r="E8" s="9">
        <f>SUM(請款明細表!F10:F10)</f>
        <v>250000</v>
      </c>
      <c r="F8" s="13">
        <f>G8/E8</f>
        <v>0</v>
      </c>
      <c r="G8" s="9">
        <f>SUM(請款明細表!H10:H10)</f>
        <v>0</v>
      </c>
      <c r="H8" s="13">
        <f>I8/E8</f>
        <v>0.3</v>
      </c>
      <c r="I8" s="9">
        <f>SUM(請款明細表!J10:J10)</f>
        <v>75000</v>
      </c>
      <c r="J8" s="13">
        <v>30</v>
      </c>
      <c r="K8" s="9">
        <f>G8+I8</f>
        <v>75000</v>
      </c>
    </row>
    <row r="9" spans="1:11" x14ac:dyDescent="0.3">
      <c r="A9" s="7"/>
      <c r="B9" s="7" t="s">
        <v>28</v>
      </c>
      <c r="C9" s="7"/>
      <c r="D9" s="12"/>
      <c r="E9" s="9"/>
      <c r="F9" s="13"/>
      <c r="G9" s="9">
        <f>請款明細表!H11</f>
        <v>0</v>
      </c>
      <c r="H9" s="13"/>
      <c r="I9" s="9">
        <f>請款明細表!J11</f>
        <v>12000</v>
      </c>
      <c r="J9" s="13"/>
      <c r="K9" s="9">
        <f>G9+I9</f>
        <v>12000</v>
      </c>
    </row>
    <row r="10" spans="1:11" x14ac:dyDescent="0.3">
      <c r="A10" s="4"/>
      <c r="B10" s="4" t="s">
        <v>22</v>
      </c>
      <c r="C10" s="4"/>
      <c r="D10" s="10"/>
      <c r="E10" s="6">
        <f>E6</f>
        <v>2810000</v>
      </c>
      <c r="F10" s="11"/>
      <c r="G10" s="6">
        <f>G6+G9</f>
        <v>0</v>
      </c>
      <c r="H10" s="11"/>
      <c r="I10" s="6">
        <f>I6+I9</f>
        <v>1027000</v>
      </c>
      <c r="J10" s="11"/>
      <c r="K10" s="6">
        <f>K6+K9</f>
        <v>1027000</v>
      </c>
    </row>
  </sheetData>
  <mergeCells count="4">
    <mergeCell ref="C4:E4"/>
    <mergeCell ref="J4:K4"/>
    <mergeCell ref="H4:I4"/>
    <mergeCell ref="F4:G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請款明細表</vt:lpstr>
      <vt:lpstr>計價總表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2026-09-29T15:11:58Z</dcterms:created>
  <dcterms:modified xsi:type="dcterms:W3CDTF">2026-09-29T15:12:00Z</dcterms:modified>
</cp:coreProperties>
</file>